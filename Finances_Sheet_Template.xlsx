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Hirable Offense\Ep. 2- Calculating Personal Burn Rate\Materials to Share\"/>
    </mc:Choice>
  </mc:AlternateContent>
  <xr:revisionPtr revIDLastSave="0" documentId="13_ncr:1_{A4535A0D-5101-4B6D-A12D-65D10E90C0AE}" xr6:coauthVersionLast="47" xr6:coauthVersionMax="47" xr10:uidLastSave="{00000000-0000-0000-0000-000000000000}"/>
  <bookViews>
    <workbookView xWindow="38280" yWindow="-120" windowWidth="29040" windowHeight="15840" activeTab="1" xr2:uid="{43D760B8-CAB7-44AB-A86B-27F474BDEDA4}"/>
  </bookViews>
  <sheets>
    <sheet name="Summary" sheetId="1" r:id="rId1"/>
    <sheet name="Trans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" l="1"/>
  <c r="R10" i="2"/>
  <c r="Q8" i="2"/>
  <c r="Q10" i="2"/>
  <c r="R9" i="2"/>
  <c r="Q9" i="2"/>
  <c r="R8" i="2"/>
  <c r="Q7" i="2"/>
  <c r="M50" i="1"/>
  <c r="O49" i="1"/>
  <c r="O48" i="1"/>
  <c r="O47" i="1"/>
  <c r="O46" i="1"/>
  <c r="O45" i="1"/>
  <c r="O44" i="1"/>
  <c r="O43" i="1"/>
  <c r="O42" i="1"/>
  <c r="O41" i="1"/>
  <c r="M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F22" i="1"/>
  <c r="H21" i="1"/>
  <c r="M20" i="1"/>
  <c r="H20" i="1"/>
  <c r="O19" i="1"/>
  <c r="H19" i="1"/>
  <c r="O18" i="1"/>
  <c r="H18" i="1"/>
  <c r="O17" i="1"/>
  <c r="H17" i="1"/>
  <c r="O16" i="1"/>
  <c r="H16" i="1"/>
  <c r="O15" i="1"/>
  <c r="H15" i="1"/>
  <c r="O14" i="1"/>
  <c r="H14" i="1"/>
  <c r="O13" i="1"/>
  <c r="H13" i="1"/>
  <c r="O12" i="1"/>
  <c r="H12" i="1"/>
  <c r="O11" i="1"/>
  <c r="H11" i="1"/>
  <c r="O10" i="1"/>
  <c r="H10" i="1"/>
  <c r="O9" i="1"/>
  <c r="H9" i="1"/>
  <c r="O8" i="1"/>
  <c r="H8" i="1"/>
  <c r="O7" i="1"/>
  <c r="H7" i="1"/>
  <c r="O6" i="1"/>
  <c r="H6" i="1"/>
  <c r="O5" i="1"/>
  <c r="H5" i="1"/>
  <c r="O4" i="1"/>
  <c r="H4" i="1"/>
  <c r="O3" i="1"/>
  <c r="H3" i="1"/>
  <c r="S9" i="2" l="1"/>
  <c r="B6" i="1" s="1"/>
  <c r="S8" i="2"/>
  <c r="B4" i="1" s="1"/>
  <c r="S7" i="2"/>
  <c r="B5" i="1" s="1"/>
  <c r="S10" i="2"/>
  <c r="B7" i="1" s="1"/>
  <c r="O20" i="1"/>
  <c r="O50" i="1"/>
  <c r="O37" i="1"/>
  <c r="H22" i="1"/>
  <c r="B8" i="1" l="1"/>
</calcChain>
</file>

<file path=xl/sharedStrings.xml><?xml version="1.0" encoding="utf-8"?>
<sst xmlns="http://schemas.openxmlformats.org/spreadsheetml/2006/main" count="129" uniqueCount="56">
  <si>
    <t>Job 4</t>
  </si>
  <si>
    <t>Pay Date</t>
  </si>
  <si>
    <t>Status</t>
  </si>
  <si>
    <t>Job 3</t>
  </si>
  <si>
    <t>Paycheck 1</t>
  </si>
  <si>
    <t>Account 1</t>
  </si>
  <si>
    <t>Paycheck 2</t>
  </si>
  <si>
    <t>Account 2</t>
  </si>
  <si>
    <t>Paycheck 3</t>
  </si>
  <si>
    <t>Credit Debt</t>
  </si>
  <si>
    <t>Paycheck 4</t>
  </si>
  <si>
    <t>Investments</t>
  </si>
  <si>
    <t>Paycheck 5</t>
  </si>
  <si>
    <t>Current Balance</t>
  </si>
  <si>
    <t>Paycheck 6</t>
  </si>
  <si>
    <t>Paycheck 7</t>
  </si>
  <si>
    <t>Paycheck 8</t>
  </si>
  <si>
    <t>Paycheck 9</t>
  </si>
  <si>
    <t>Paycheck 10</t>
  </si>
  <si>
    <t>Paycheck 11</t>
  </si>
  <si>
    <t>Paycheck 12</t>
  </si>
  <si>
    <t>Paycheck 13</t>
  </si>
  <si>
    <t>Paycheck 14</t>
  </si>
  <si>
    <t>Paycheck 15</t>
  </si>
  <si>
    <t>Paycheck 16</t>
  </si>
  <si>
    <t>Paycheck 17</t>
  </si>
  <si>
    <t xml:space="preserve"> </t>
  </si>
  <si>
    <t>Paycheck 18</t>
  </si>
  <si>
    <t>Total</t>
  </si>
  <si>
    <t>Pay Remaining</t>
  </si>
  <si>
    <t>Paycheck 19</t>
  </si>
  <si>
    <t>Job 2</t>
  </si>
  <si>
    <t>Job 1</t>
  </si>
  <si>
    <t>Outflows</t>
  </si>
  <si>
    <t>Inflows</t>
  </si>
  <si>
    <t>Transfers</t>
  </si>
  <si>
    <t>Account</t>
  </si>
  <si>
    <t>Item</t>
  </si>
  <si>
    <t>Amount</t>
  </si>
  <si>
    <t>Date</t>
  </si>
  <si>
    <t>From</t>
  </si>
  <si>
    <t>To</t>
  </si>
  <si>
    <t xml:space="preserve">Positive </t>
  </si>
  <si>
    <t>Negative</t>
  </si>
  <si>
    <t>Net</t>
  </si>
  <si>
    <t>Change in Account 2</t>
  </si>
  <si>
    <t>Change in Account 1</t>
  </si>
  <si>
    <t>Change in Credit</t>
  </si>
  <si>
    <t>Change in Investments</t>
  </si>
  <si>
    <t>Drop Down References</t>
  </si>
  <si>
    <t>Credit Charge</t>
  </si>
  <si>
    <t>Credit Payment</t>
  </si>
  <si>
    <t>Little Caesars</t>
  </si>
  <si>
    <t>Grandma Check</t>
  </si>
  <si>
    <t>Walmart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</si>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</sst>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0" fontId="0" fillId="0" borderId="1" xfId="0" applyBorder="1"/>
    <xf numFmtId="44" fontId="0" fillId="0" borderId="2" xfId="1" applyFont="1" applyBorder="1"/>
    <xf numFmtId="14" fontId="0" fillId="0" borderId="2" xfId="0" applyNumberFormat="1" applyBorder="1"/>
    <xf numFmtId="0" fontId="0" fillId="0" borderId="3" xfId="0" applyBorder="1"/>
    <xf numFmtId="0" fontId="2" fillId="0" borderId="1" xfId="0" applyFont="1" applyBorder="1"/>
    <xf numFmtId="44" fontId="2" fillId="0" borderId="2" xfId="1" applyFont="1" applyBorder="1"/>
    <xf numFmtId="1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44" fontId="2" fillId="0" borderId="0" xfId="1" applyFont="1" applyBorder="1"/>
    <xf numFmtId="14" fontId="2" fillId="0" borderId="0" xfId="0" applyNumberFormat="1" applyFont="1"/>
    <xf numFmtId="0" fontId="2" fillId="0" borderId="5" xfId="0" applyFont="1" applyBorder="1"/>
    <xf numFmtId="0" fontId="0" fillId="0" borderId="6" xfId="0" applyBorder="1"/>
    <xf numFmtId="44" fontId="0" fillId="0" borderId="6" xfId="0" applyNumberFormat="1" applyBorder="1"/>
    <xf numFmtId="44" fontId="0" fillId="2" borderId="0" xfId="1" applyFont="1" applyFill="1"/>
    <xf numFmtId="44" fontId="0" fillId="0" borderId="0" xfId="1" applyFont="1" applyBorder="1"/>
    <xf numFmtId="0" fontId="2" fillId="0" borderId="7" xfId="0" applyFont="1" applyBorder="1"/>
    <xf numFmtId="44" fontId="2" fillId="0" borderId="8" xfId="1" applyFont="1" applyBorder="1"/>
    <xf numFmtId="14" fontId="2" fillId="0" borderId="8" xfId="0" applyNumberFormat="1" applyFont="1" applyBorder="1"/>
    <xf numFmtId="44" fontId="2" fillId="0" borderId="9" xfId="1" applyFont="1" applyBorder="1"/>
    <xf numFmtId="0" fontId="3" fillId="0" borderId="4" xfId="0" applyFont="1" applyBorder="1"/>
    <xf numFmtId="44" fontId="3" fillId="0" borderId="0" xfId="1" applyFont="1" applyBorder="1"/>
    <xf numFmtId="14" fontId="3" fillId="0" borderId="0" xfId="0" applyNumberFormat="1" applyFont="1"/>
    <xf numFmtId="0" fontId="3" fillId="0" borderId="5" xfId="0" applyFont="1" applyBorder="1"/>
    <xf numFmtId="0" fontId="3" fillId="0" borderId="7" xfId="0" applyFont="1" applyBorder="1"/>
    <xf numFmtId="44" fontId="0" fillId="0" borderId="8" xfId="1" applyFont="1" applyBorder="1"/>
    <xf numFmtId="14" fontId="0" fillId="0" borderId="8" xfId="0" applyNumberFormat="1" applyBorder="1"/>
    <xf numFmtId="44" fontId="0" fillId="0" borderId="9" xfId="1" applyFont="1" applyBorder="1"/>
    <xf numFmtId="0" fontId="2" fillId="0" borderId="10" xfId="0" applyFont="1" applyBorder="1"/>
    <xf numFmtId="44" fontId="2" fillId="0" borderId="11" xfId="1" applyFont="1" applyBorder="1"/>
    <xf numFmtId="14" fontId="2" fillId="0" borderId="11" xfId="0" applyNumberFormat="1" applyFont="1" applyBorder="1"/>
    <xf numFmtId="0" fontId="2" fillId="0" borderId="12" xfId="0" applyFont="1" applyBorder="1"/>
    <xf numFmtId="0" fontId="2" fillId="0" borderId="0" xfId="0" applyFont="1"/>
    <xf numFmtId="44" fontId="3" fillId="0" borderId="0" xfId="1" applyFont="1"/>
    <xf numFmtId="0" fontId="3" fillId="0" borderId="0" xfId="0" applyFont="1"/>
    <xf numFmtId="44" fontId="3" fillId="0" borderId="0" xfId="1" applyFont="1" applyFill="1" applyBorder="1"/>
    <xf numFmtId="44" fontId="3" fillId="0" borderId="0" xfId="0" applyNumberFormat="1" applyFont="1"/>
    <xf numFmtId="44" fontId="3" fillId="0" borderId="15" xfId="1" applyFont="1" applyFill="1" applyBorder="1"/>
    <xf numFmtId="44" fontId="3" fillId="0" borderId="13" xfId="1" applyFont="1" applyFill="1" applyBorder="1"/>
    <xf numFmtId="44" fontId="3" fillId="0" borderId="14" xfId="1" applyFont="1" applyFill="1" applyBorder="1"/>
    <xf numFmtId="44" fontId="3" fillId="0" borderId="14" xfId="0" applyNumberFormat="1" applyFont="1" applyBorder="1"/>
  </cellXfs>
  <cellStyles count="2">
    <cellStyle name="Currency" xfId="1" builtinId="4"/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BE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BB78-3765-4841-85C9-C86D996E20A2}">
  <dimension ref="A1:O50"/>
  <sheetViews>
    <sheetView workbookViewId="0">
      <selection activeCell="C8" sqref="C8"/>
    </sheetView>
  </sheetViews>
  <sheetFormatPr defaultRowHeight="14.4" x14ac:dyDescent="0.3"/>
  <cols>
    <col min="1" max="1" width="18.21875" customWidth="1"/>
    <col min="2" max="2" width="12.88671875" customWidth="1"/>
    <col min="6" max="6" width="11.5546875" customWidth="1"/>
    <col min="7" max="7" width="12.88671875" customWidth="1"/>
    <col min="8" max="8" width="10.77734375" customWidth="1"/>
    <col min="13" max="13" width="13.21875" customWidth="1"/>
    <col min="14" max="14" width="15" customWidth="1"/>
    <col min="15" max="15" width="11.6640625" customWidth="1"/>
  </cols>
  <sheetData>
    <row r="1" spans="1:15" ht="15" thickBot="1" x14ac:dyDescent="0.35">
      <c r="I1" s="1"/>
      <c r="J1" s="2"/>
      <c r="M1" s="1"/>
      <c r="N1" s="2"/>
    </row>
    <row r="2" spans="1:15" x14ac:dyDescent="0.3">
      <c r="B2" s="3"/>
      <c r="E2" s="4" t="s">
        <v>0</v>
      </c>
      <c r="F2" s="5"/>
      <c r="G2" s="6" t="s">
        <v>1</v>
      </c>
      <c r="H2" s="7" t="s">
        <v>2</v>
      </c>
      <c r="I2" s="1"/>
      <c r="J2" s="2"/>
      <c r="L2" s="8" t="s">
        <v>3</v>
      </c>
      <c r="M2" s="9"/>
      <c r="N2" s="10" t="s">
        <v>1</v>
      </c>
      <c r="O2" s="11" t="s">
        <v>2</v>
      </c>
    </row>
    <row r="3" spans="1:15" x14ac:dyDescent="0.3">
      <c r="B3" s="3"/>
      <c r="E3" s="12" t="s">
        <v>4</v>
      </c>
      <c r="F3" s="13">
        <v>300</v>
      </c>
      <c r="G3" s="14">
        <v>45723</v>
      </c>
      <c r="H3" s="15" t="str">
        <f t="shared" ref="H3:H21" ca="1" si="0">IF(G3&lt;=TODAY(),"Paid","Upcoming")</f>
        <v>Paid</v>
      </c>
      <c r="I3" s="1"/>
      <c r="J3" s="2"/>
      <c r="L3" s="12" t="s">
        <v>4</v>
      </c>
      <c r="M3" s="13">
        <v>200</v>
      </c>
      <c r="N3" s="14">
        <v>45464</v>
      </c>
      <c r="O3" s="15" t="str">
        <f t="shared" ref="O3:O19" ca="1" si="1">IF(N3&lt;=TODAY(),"Paid","Upcoming")</f>
        <v>Paid</v>
      </c>
    </row>
    <row r="4" spans="1:15" x14ac:dyDescent="0.3">
      <c r="A4" t="s">
        <v>5</v>
      </c>
      <c r="B4" s="3">
        <f ca="1">Transactions!S8+SUMIF(O24:O36,"Paid",M24:M36)+SUMIF(O3:O19,"Paid",M3:M19)+SUMIF(O41:O49,"Paid",M41:M49)+SUMIF(H3:H21,"Paid",F3:F21)</f>
        <v>6800</v>
      </c>
      <c r="E4" s="12" t="s">
        <v>6</v>
      </c>
      <c r="F4" s="13">
        <v>300</v>
      </c>
      <c r="G4" s="14">
        <v>45737</v>
      </c>
      <c r="H4" s="15" t="str">
        <f t="shared" ca="1" si="0"/>
        <v>Paid</v>
      </c>
      <c r="I4" s="1"/>
      <c r="J4" s="2"/>
      <c r="L4" s="12" t="s">
        <v>6</v>
      </c>
      <c r="M4" s="13">
        <v>200</v>
      </c>
      <c r="N4" s="14">
        <v>45478</v>
      </c>
      <c r="O4" s="15" t="str">
        <f t="shared" ca="1" si="1"/>
        <v>Paid</v>
      </c>
    </row>
    <row r="5" spans="1:15" x14ac:dyDescent="0.3">
      <c r="A5" t="s">
        <v>7</v>
      </c>
      <c r="B5" s="3">
        <f>Transactions!S7</f>
        <v>110</v>
      </c>
      <c r="E5" s="12" t="s">
        <v>8</v>
      </c>
      <c r="F5" s="13">
        <v>300</v>
      </c>
      <c r="G5" s="14">
        <v>45754</v>
      </c>
      <c r="H5" s="15" t="str">
        <f t="shared" ca="1" si="0"/>
        <v>Paid</v>
      </c>
      <c r="I5" s="1"/>
      <c r="J5" s="2"/>
      <c r="L5" s="12" t="s">
        <v>8</v>
      </c>
      <c r="M5" s="13">
        <v>200</v>
      </c>
      <c r="N5" s="14">
        <v>45495</v>
      </c>
      <c r="O5" s="15" t="str">
        <f t="shared" ca="1" si="1"/>
        <v>Paid</v>
      </c>
    </row>
    <row r="6" spans="1:15" x14ac:dyDescent="0.3">
      <c r="A6" t="s">
        <v>9</v>
      </c>
      <c r="B6" s="3">
        <f>Transactions!S9</f>
        <v>-55</v>
      </c>
      <c r="E6" s="12" t="s">
        <v>10</v>
      </c>
      <c r="F6" s="13">
        <v>300</v>
      </c>
      <c r="G6" s="14">
        <v>45769</v>
      </c>
      <c r="H6" s="15" t="str">
        <f t="shared" ca="1" si="0"/>
        <v>Paid</v>
      </c>
      <c r="I6" s="1"/>
      <c r="J6" s="2"/>
      <c r="L6" s="12" t="s">
        <v>10</v>
      </c>
      <c r="M6" s="13">
        <v>200</v>
      </c>
      <c r="N6" s="14">
        <v>45511</v>
      </c>
      <c r="O6" s="15" t="str">
        <f t="shared" ca="1" si="1"/>
        <v>Paid</v>
      </c>
    </row>
    <row r="7" spans="1:15" ht="15" thickBot="1" x14ac:dyDescent="0.35">
      <c r="A7" s="16" t="s">
        <v>11</v>
      </c>
      <c r="B7" s="17">
        <f>Transactions!S10</f>
        <v>3100</v>
      </c>
      <c r="E7" s="12" t="s">
        <v>12</v>
      </c>
      <c r="F7" s="13">
        <v>300</v>
      </c>
      <c r="G7" s="14">
        <v>45777</v>
      </c>
      <c r="H7" s="15" t="str">
        <f t="shared" ca="1" si="0"/>
        <v>Paid</v>
      </c>
      <c r="I7" s="1"/>
      <c r="J7" s="2"/>
      <c r="L7" s="12" t="s">
        <v>12</v>
      </c>
      <c r="M7" s="13">
        <v>200</v>
      </c>
      <c r="N7" s="14">
        <v>45526</v>
      </c>
      <c r="O7" s="15" t="str">
        <f t="shared" ca="1" si="1"/>
        <v>Paid</v>
      </c>
    </row>
    <row r="8" spans="1:15" x14ac:dyDescent="0.3">
      <c r="A8" t="s">
        <v>13</v>
      </c>
      <c r="B8" s="18">
        <f ca="1">SUM(B2:B7)</f>
        <v>9955</v>
      </c>
      <c r="E8" s="12" t="s">
        <v>14</v>
      </c>
      <c r="F8" s="13">
        <v>300</v>
      </c>
      <c r="G8" s="14">
        <v>45792</v>
      </c>
      <c r="H8" s="15" t="str">
        <f t="shared" ca="1" si="0"/>
        <v>Paid</v>
      </c>
      <c r="I8" s="1"/>
      <c r="J8" s="2"/>
      <c r="L8" s="12" t="s">
        <v>14</v>
      </c>
      <c r="M8" s="13">
        <v>200</v>
      </c>
      <c r="N8" s="14">
        <v>45541</v>
      </c>
      <c r="O8" s="15" t="str">
        <f t="shared" ca="1" si="1"/>
        <v>Paid</v>
      </c>
    </row>
    <row r="9" spans="1:15" x14ac:dyDescent="0.3">
      <c r="E9" s="12" t="s">
        <v>15</v>
      </c>
      <c r="F9" s="13">
        <v>300</v>
      </c>
      <c r="G9" s="14">
        <v>45807</v>
      </c>
      <c r="H9" s="15" t="str">
        <f t="shared" ca="1" si="0"/>
        <v>Paid</v>
      </c>
      <c r="I9" s="1"/>
      <c r="J9" s="2"/>
      <c r="L9" s="12" t="s">
        <v>15</v>
      </c>
      <c r="M9" s="13">
        <v>200</v>
      </c>
      <c r="N9" s="14">
        <v>45555</v>
      </c>
      <c r="O9" s="15" t="str">
        <f t="shared" ca="1" si="1"/>
        <v>Paid</v>
      </c>
    </row>
    <row r="10" spans="1:15" x14ac:dyDescent="0.3">
      <c r="E10" s="12" t="s">
        <v>16</v>
      </c>
      <c r="F10" s="13">
        <v>300</v>
      </c>
      <c r="G10" s="14">
        <v>45821</v>
      </c>
      <c r="H10" s="15" t="str">
        <f t="shared" ca="1" si="0"/>
        <v>Paid</v>
      </c>
      <c r="I10" s="1"/>
      <c r="J10" s="2"/>
      <c r="L10" s="12" t="s">
        <v>16</v>
      </c>
      <c r="M10" s="13">
        <v>200</v>
      </c>
      <c r="N10" s="14">
        <v>45572</v>
      </c>
      <c r="O10" s="15" t="str">
        <f t="shared" ca="1" si="1"/>
        <v>Paid</v>
      </c>
    </row>
    <row r="11" spans="1:15" x14ac:dyDescent="0.3">
      <c r="E11" s="12" t="s">
        <v>17</v>
      </c>
      <c r="F11" s="13">
        <v>300</v>
      </c>
      <c r="G11" s="14">
        <v>45835</v>
      </c>
      <c r="H11" s="15" t="str">
        <f t="shared" ca="1" si="0"/>
        <v>Paid</v>
      </c>
      <c r="I11" s="1"/>
      <c r="J11" s="2"/>
      <c r="L11" s="12" t="s">
        <v>17</v>
      </c>
      <c r="M11" s="13">
        <v>200</v>
      </c>
      <c r="N11" s="14">
        <v>45587</v>
      </c>
      <c r="O11" s="15" t="str">
        <f t="shared" ca="1" si="1"/>
        <v>Paid</v>
      </c>
    </row>
    <row r="12" spans="1:15" x14ac:dyDescent="0.3">
      <c r="E12" s="12" t="s">
        <v>18</v>
      </c>
      <c r="F12" s="13">
        <v>300</v>
      </c>
      <c r="G12" s="14">
        <v>45853</v>
      </c>
      <c r="H12" s="15" t="str">
        <f t="shared" ca="1" si="0"/>
        <v>Paid</v>
      </c>
      <c r="I12" s="1"/>
      <c r="J12" s="2"/>
      <c r="L12" s="12" t="s">
        <v>18</v>
      </c>
      <c r="M12" s="13">
        <v>200</v>
      </c>
      <c r="N12" s="14">
        <v>45603</v>
      </c>
      <c r="O12" s="15" t="str">
        <f t="shared" ca="1" si="1"/>
        <v>Paid</v>
      </c>
    </row>
    <row r="13" spans="1:15" x14ac:dyDescent="0.3">
      <c r="E13" s="12" t="s">
        <v>19</v>
      </c>
      <c r="F13" s="13">
        <v>300</v>
      </c>
      <c r="G13" s="14">
        <v>45869</v>
      </c>
      <c r="H13" s="15" t="str">
        <f t="shared" ca="1" si="0"/>
        <v>Paid</v>
      </c>
      <c r="I13" s="1"/>
      <c r="J13" s="2"/>
      <c r="L13" s="12" t="s">
        <v>19</v>
      </c>
      <c r="M13" s="13">
        <v>200</v>
      </c>
      <c r="N13" s="14">
        <v>45618</v>
      </c>
      <c r="O13" s="15" t="str">
        <f t="shared" ca="1" si="1"/>
        <v>Paid</v>
      </c>
    </row>
    <row r="14" spans="1:15" x14ac:dyDescent="0.3">
      <c r="E14" s="12" t="s">
        <v>20</v>
      </c>
      <c r="F14" s="13">
        <v>300</v>
      </c>
      <c r="G14" s="14">
        <v>45884</v>
      </c>
      <c r="H14" s="15" t="str">
        <f t="shared" ca="1" si="0"/>
        <v>Paid</v>
      </c>
      <c r="I14" s="1"/>
      <c r="J14" s="2"/>
      <c r="L14" s="12" t="s">
        <v>20</v>
      </c>
      <c r="M14" s="13">
        <v>200</v>
      </c>
      <c r="N14" s="14">
        <v>45622</v>
      </c>
      <c r="O14" s="15" t="str">
        <f t="shared" ca="1" si="1"/>
        <v>Paid</v>
      </c>
    </row>
    <row r="15" spans="1:15" x14ac:dyDescent="0.3">
      <c r="B15" s="1"/>
      <c r="E15" s="12" t="s">
        <v>21</v>
      </c>
      <c r="F15" s="13">
        <v>300</v>
      </c>
      <c r="G15" s="14">
        <v>45898</v>
      </c>
      <c r="H15" s="15" t="str">
        <f t="shared" ca="1" si="0"/>
        <v>Paid</v>
      </c>
      <c r="I15" s="1"/>
      <c r="J15" s="2"/>
      <c r="L15" s="12" t="s">
        <v>21</v>
      </c>
      <c r="M15" s="13">
        <v>200</v>
      </c>
      <c r="N15" s="14">
        <v>45632</v>
      </c>
      <c r="O15" s="15" t="str">
        <f t="shared" ca="1" si="1"/>
        <v>Paid</v>
      </c>
    </row>
    <row r="16" spans="1:15" x14ac:dyDescent="0.3">
      <c r="E16" s="12" t="s">
        <v>22</v>
      </c>
      <c r="F16" s="13">
        <v>300</v>
      </c>
      <c r="G16" s="14">
        <v>45915</v>
      </c>
      <c r="H16" s="15" t="str">
        <f t="shared" ca="1" si="0"/>
        <v>Paid</v>
      </c>
      <c r="I16" s="1"/>
      <c r="J16" s="2"/>
      <c r="L16" s="12" t="s">
        <v>22</v>
      </c>
      <c r="M16" s="13">
        <v>200</v>
      </c>
      <c r="N16" s="14">
        <v>45646</v>
      </c>
      <c r="O16" s="15" t="str">
        <f t="shared" ca="1" si="1"/>
        <v>Paid</v>
      </c>
    </row>
    <row r="17" spans="2:15" x14ac:dyDescent="0.3">
      <c r="E17" s="12" t="s">
        <v>23</v>
      </c>
      <c r="F17" s="13">
        <v>300</v>
      </c>
      <c r="G17" s="14">
        <v>45930</v>
      </c>
      <c r="H17" s="15" t="str">
        <f t="shared" ca="1" si="0"/>
        <v>Paid</v>
      </c>
      <c r="I17" s="19"/>
      <c r="J17" s="2"/>
      <c r="L17" s="12" t="s">
        <v>23</v>
      </c>
      <c r="M17" s="13">
        <v>200</v>
      </c>
      <c r="N17" s="14">
        <v>45664</v>
      </c>
      <c r="O17" s="15" t="str">
        <f t="shared" ca="1" si="1"/>
        <v>Paid</v>
      </c>
    </row>
    <row r="18" spans="2:15" x14ac:dyDescent="0.3">
      <c r="E18" s="12" t="s">
        <v>24</v>
      </c>
      <c r="F18" s="13">
        <v>300</v>
      </c>
      <c r="G18" s="14">
        <v>45945</v>
      </c>
      <c r="H18" s="15" t="str">
        <f t="shared" ca="1" si="0"/>
        <v>Paid</v>
      </c>
      <c r="I18" s="1"/>
      <c r="J18" s="2"/>
      <c r="L18" s="12" t="s">
        <v>24</v>
      </c>
      <c r="M18" s="13">
        <v>200</v>
      </c>
      <c r="N18" s="14">
        <v>45679</v>
      </c>
      <c r="O18" s="15" t="str">
        <f t="shared" ca="1" si="1"/>
        <v>Paid</v>
      </c>
    </row>
    <row r="19" spans="2:15" x14ac:dyDescent="0.3">
      <c r="E19" s="12" t="s">
        <v>25</v>
      </c>
      <c r="F19" s="13">
        <v>300</v>
      </c>
      <c r="G19" s="14">
        <v>45960</v>
      </c>
      <c r="H19" s="15" t="str">
        <f t="shared" ca="1" si="0"/>
        <v>Paid</v>
      </c>
      <c r="I19" s="1"/>
      <c r="J19" s="2"/>
      <c r="L19" s="12" t="s">
        <v>25</v>
      </c>
      <c r="M19" s="13">
        <v>200</v>
      </c>
      <c r="N19" s="14">
        <v>45695</v>
      </c>
      <c r="O19" s="15" t="str">
        <f t="shared" ca="1" si="1"/>
        <v>Paid</v>
      </c>
    </row>
    <row r="20" spans="2:15" ht="15" thickBot="1" x14ac:dyDescent="0.35">
      <c r="B20" t="s">
        <v>26</v>
      </c>
      <c r="D20" s="1"/>
      <c r="E20" s="12" t="s">
        <v>27</v>
      </c>
      <c r="F20" s="13">
        <v>300</v>
      </c>
      <c r="G20" s="14">
        <v>45975</v>
      </c>
      <c r="H20" s="15" t="str">
        <f t="shared" ca="1" si="0"/>
        <v>Paid</v>
      </c>
      <c r="I20" s="1"/>
      <c r="J20" s="2"/>
      <c r="L20" s="20" t="s">
        <v>28</v>
      </c>
      <c r="M20" s="21">
        <f>SUM(M3:M19)</f>
        <v>3400</v>
      </c>
      <c r="N20" s="22" t="s">
        <v>29</v>
      </c>
      <c r="O20" s="23">
        <f ca="1">IF(COUNTIF(O3:O19,"Paid")=20,"None",SUMIF(O3:O19,"Upcoming",M3:M19))</f>
        <v>0</v>
      </c>
    </row>
    <row r="21" spans="2:15" x14ac:dyDescent="0.3">
      <c r="E21" s="24" t="s">
        <v>30</v>
      </c>
      <c r="F21" s="25">
        <v>300</v>
      </c>
      <c r="G21" s="26">
        <v>47572</v>
      </c>
      <c r="H21" s="27" t="str">
        <f t="shared" ca="1" si="0"/>
        <v>Upcoming</v>
      </c>
      <c r="I21" s="1"/>
      <c r="J21" s="2"/>
    </row>
    <row r="22" spans="2:15" ht="15" thickBot="1" x14ac:dyDescent="0.35">
      <c r="E22" s="28" t="s">
        <v>28</v>
      </c>
      <c r="F22" s="29">
        <f>SUM(F3:F21)</f>
        <v>5700</v>
      </c>
      <c r="G22" s="30" t="s">
        <v>29</v>
      </c>
      <c r="H22" s="31">
        <f ca="1">IF(COUNTIF(H3:H21,"Paid")=25,"None",SUMIF(H3:H21,"Upcoming",F3:F21))</f>
        <v>300</v>
      </c>
      <c r="I22" s="1"/>
      <c r="J22" s="2"/>
    </row>
    <row r="23" spans="2:15" x14ac:dyDescent="0.3">
      <c r="E23" s="25"/>
      <c r="F23" s="25"/>
      <c r="G23" s="25"/>
      <c r="H23" s="25"/>
      <c r="I23" s="1"/>
      <c r="J23" s="2"/>
      <c r="L23" s="32" t="s">
        <v>31</v>
      </c>
      <c r="M23" s="33"/>
      <c r="N23" s="34" t="s">
        <v>1</v>
      </c>
      <c r="O23" s="35" t="s">
        <v>2</v>
      </c>
    </row>
    <row r="24" spans="2:15" x14ac:dyDescent="0.3">
      <c r="E24" s="25"/>
      <c r="F24" s="25"/>
      <c r="G24" s="25"/>
      <c r="H24" s="25"/>
      <c r="I24" s="1"/>
      <c r="J24" s="2"/>
      <c r="L24" s="12" t="s">
        <v>4</v>
      </c>
      <c r="M24" s="13">
        <v>100</v>
      </c>
      <c r="N24" s="14">
        <v>45149</v>
      </c>
      <c r="O24" s="15" t="str">
        <f t="shared" ref="O24:O36" ca="1" si="2">IF(N24&lt;=TODAY(),"Paid","Upcoming")</f>
        <v>Paid</v>
      </c>
    </row>
    <row r="25" spans="2:15" x14ac:dyDescent="0.3">
      <c r="E25" s="25"/>
      <c r="F25" s="25"/>
      <c r="G25" s="25"/>
      <c r="H25" s="25"/>
      <c r="I25" s="1"/>
      <c r="J25" s="2"/>
      <c r="L25" s="12" t="s">
        <v>6</v>
      </c>
      <c r="M25" s="13">
        <v>100</v>
      </c>
      <c r="N25" s="14">
        <v>45163</v>
      </c>
      <c r="O25" s="15" t="str">
        <f t="shared" ca="1" si="2"/>
        <v>Paid</v>
      </c>
    </row>
    <row r="26" spans="2:15" x14ac:dyDescent="0.3">
      <c r="E26" s="25"/>
      <c r="F26" s="25"/>
      <c r="G26" s="25"/>
      <c r="H26" s="25"/>
      <c r="I26" s="1"/>
      <c r="J26" s="2"/>
      <c r="L26" s="12" t="s">
        <v>8</v>
      </c>
      <c r="M26" s="13">
        <v>100</v>
      </c>
      <c r="N26" s="14">
        <v>45177</v>
      </c>
      <c r="O26" s="15" t="str">
        <f t="shared" ca="1" si="2"/>
        <v>Paid</v>
      </c>
    </row>
    <row r="27" spans="2:15" x14ac:dyDescent="0.3">
      <c r="E27" s="25"/>
      <c r="F27" s="25"/>
      <c r="G27" s="25"/>
      <c r="H27" s="25"/>
      <c r="I27" s="1"/>
      <c r="J27" s="2"/>
      <c r="L27" s="12" t="s">
        <v>10</v>
      </c>
      <c r="M27" s="13">
        <v>100</v>
      </c>
      <c r="N27" s="14">
        <v>45191</v>
      </c>
      <c r="O27" s="15" t="str">
        <f t="shared" ca="1" si="2"/>
        <v>Paid</v>
      </c>
    </row>
    <row r="28" spans="2:15" x14ac:dyDescent="0.3">
      <c r="I28" s="1"/>
      <c r="J28" s="2"/>
      <c r="L28" s="12" t="s">
        <v>12</v>
      </c>
      <c r="M28" s="13">
        <v>100</v>
      </c>
      <c r="N28" s="14">
        <v>45205</v>
      </c>
      <c r="O28" s="15" t="str">
        <f t="shared" ca="1" si="2"/>
        <v>Paid</v>
      </c>
    </row>
    <row r="29" spans="2:15" x14ac:dyDescent="0.3">
      <c r="I29" s="1"/>
      <c r="J29" s="2"/>
      <c r="L29" s="12" t="s">
        <v>14</v>
      </c>
      <c r="M29" s="13">
        <v>100</v>
      </c>
      <c r="N29" s="14">
        <v>45219</v>
      </c>
      <c r="O29" s="15" t="str">
        <f t="shared" ca="1" si="2"/>
        <v>Paid</v>
      </c>
    </row>
    <row r="30" spans="2:15" x14ac:dyDescent="0.3">
      <c r="I30" s="1"/>
      <c r="J30" s="2"/>
      <c r="L30" s="12" t="s">
        <v>15</v>
      </c>
      <c r="M30" s="13">
        <v>100</v>
      </c>
      <c r="N30" s="14">
        <v>45233</v>
      </c>
      <c r="O30" s="15" t="str">
        <f t="shared" ca="1" si="2"/>
        <v>Paid</v>
      </c>
    </row>
    <row r="31" spans="2:15" x14ac:dyDescent="0.3">
      <c r="I31" s="1"/>
      <c r="J31" s="2"/>
      <c r="L31" s="12" t="s">
        <v>16</v>
      </c>
      <c r="M31" s="13">
        <v>100</v>
      </c>
      <c r="N31" s="14">
        <v>45247</v>
      </c>
      <c r="O31" s="15" t="str">
        <f t="shared" ca="1" si="2"/>
        <v>Paid</v>
      </c>
    </row>
    <row r="32" spans="2:15" x14ac:dyDescent="0.3">
      <c r="I32" s="1"/>
      <c r="J32" s="2"/>
      <c r="L32" s="12" t="s">
        <v>17</v>
      </c>
      <c r="M32" s="13">
        <v>100</v>
      </c>
      <c r="N32" s="14">
        <v>45261</v>
      </c>
      <c r="O32" s="15" t="str">
        <f t="shared" ca="1" si="2"/>
        <v>Paid</v>
      </c>
    </row>
    <row r="33" spans="2:15" x14ac:dyDescent="0.3">
      <c r="I33" s="1"/>
      <c r="J33" s="2"/>
      <c r="L33" s="12" t="s">
        <v>18</v>
      </c>
      <c r="M33" s="13">
        <v>100</v>
      </c>
      <c r="N33" s="14">
        <v>45275</v>
      </c>
      <c r="O33" s="15" t="str">
        <f t="shared" ca="1" si="2"/>
        <v>Paid</v>
      </c>
    </row>
    <row r="34" spans="2:15" x14ac:dyDescent="0.3">
      <c r="J34" s="2"/>
      <c r="K34" s="36"/>
      <c r="L34" s="12" t="s">
        <v>19</v>
      </c>
      <c r="M34" s="13">
        <v>100</v>
      </c>
      <c r="N34" s="14">
        <v>45303</v>
      </c>
      <c r="O34" s="15" t="str">
        <f t="shared" ca="1" si="2"/>
        <v>Paid</v>
      </c>
    </row>
    <row r="35" spans="2:15" x14ac:dyDescent="0.3">
      <c r="J35" s="2"/>
      <c r="L35" s="12" t="s">
        <v>20</v>
      </c>
      <c r="M35" s="13">
        <v>100</v>
      </c>
      <c r="N35" s="14">
        <v>45317</v>
      </c>
      <c r="O35" s="15" t="str">
        <f t="shared" ca="1" si="2"/>
        <v>Paid</v>
      </c>
    </row>
    <row r="36" spans="2:15" x14ac:dyDescent="0.3">
      <c r="J36" s="2"/>
      <c r="L36" s="12" t="s">
        <v>21</v>
      </c>
      <c r="M36" s="13">
        <v>100</v>
      </c>
      <c r="N36" s="14">
        <v>45331</v>
      </c>
      <c r="O36" s="15" t="str">
        <f t="shared" ca="1" si="2"/>
        <v>Paid</v>
      </c>
    </row>
    <row r="37" spans="2:15" ht="15" thickBot="1" x14ac:dyDescent="0.35">
      <c r="I37" s="1"/>
      <c r="J37" s="2"/>
      <c r="L37" s="20" t="s">
        <v>28</v>
      </c>
      <c r="M37" s="21">
        <f>SUM(M24:M36)</f>
        <v>1300</v>
      </c>
      <c r="N37" s="22" t="s">
        <v>29</v>
      </c>
      <c r="O37" s="23">
        <f ca="1">IF(COUNTIF(O24:O36,"Paid")=20,"None",SUMIF(O24:O36,"Upcoming",M24:M36))</f>
        <v>0</v>
      </c>
    </row>
    <row r="38" spans="2:15" x14ac:dyDescent="0.3">
      <c r="I38" s="1"/>
      <c r="J38" s="2"/>
    </row>
    <row r="39" spans="2:15" ht="15" thickBot="1" x14ac:dyDescent="0.35">
      <c r="I39" s="1"/>
      <c r="J39" s="2"/>
    </row>
    <row r="40" spans="2:15" x14ac:dyDescent="0.3">
      <c r="B40" t="s">
        <v>26</v>
      </c>
      <c r="I40" s="1"/>
      <c r="J40" s="2"/>
      <c r="L40" s="32" t="s">
        <v>32</v>
      </c>
      <c r="M40" s="33"/>
      <c r="N40" s="34" t="s">
        <v>1</v>
      </c>
      <c r="O40" s="35" t="s">
        <v>2</v>
      </c>
    </row>
    <row r="41" spans="2:15" x14ac:dyDescent="0.3">
      <c r="I41" s="1"/>
      <c r="J41" s="2"/>
      <c r="L41" s="12" t="s">
        <v>4</v>
      </c>
      <c r="M41" s="13">
        <v>50</v>
      </c>
      <c r="N41" s="14">
        <v>45100</v>
      </c>
      <c r="O41" s="15" t="str">
        <f t="shared" ref="O41:O49" ca="1" si="3">IF(N41&lt;=TODAY(),"Paid","Upcoming")</f>
        <v>Paid</v>
      </c>
    </row>
    <row r="42" spans="2:15" x14ac:dyDescent="0.3">
      <c r="E42" s="3"/>
      <c r="I42" s="1"/>
      <c r="J42" s="2"/>
      <c r="L42" s="12" t="s">
        <v>6</v>
      </c>
      <c r="M42" s="13">
        <v>50</v>
      </c>
      <c r="N42" s="14">
        <v>45114</v>
      </c>
      <c r="O42" s="15" t="str">
        <f t="shared" ca="1" si="3"/>
        <v>Paid</v>
      </c>
    </row>
    <row r="43" spans="2:15" x14ac:dyDescent="0.3">
      <c r="I43" s="1"/>
      <c r="J43" s="2"/>
      <c r="L43" s="12" t="s">
        <v>8</v>
      </c>
      <c r="M43" s="13">
        <v>50</v>
      </c>
      <c r="N43" s="14">
        <v>45128</v>
      </c>
      <c r="O43" s="15" t="str">
        <f t="shared" ca="1" si="3"/>
        <v>Paid</v>
      </c>
    </row>
    <row r="44" spans="2:15" x14ac:dyDescent="0.3">
      <c r="I44" s="1"/>
      <c r="J44" s="2"/>
      <c r="L44" s="12" t="s">
        <v>10</v>
      </c>
      <c r="M44" s="13">
        <v>50</v>
      </c>
      <c r="N44" s="14">
        <v>45142</v>
      </c>
      <c r="O44" s="15" t="str">
        <f t="shared" ca="1" si="3"/>
        <v>Paid</v>
      </c>
    </row>
    <row r="45" spans="2:15" x14ac:dyDescent="0.3">
      <c r="I45" s="1"/>
      <c r="J45" s="2"/>
      <c r="L45" s="12" t="s">
        <v>12</v>
      </c>
      <c r="M45" s="13">
        <v>50</v>
      </c>
      <c r="N45" s="14">
        <v>45156</v>
      </c>
      <c r="O45" s="15" t="str">
        <f t="shared" ca="1" si="3"/>
        <v>Paid</v>
      </c>
    </row>
    <row r="46" spans="2:15" x14ac:dyDescent="0.3">
      <c r="I46" s="1"/>
      <c r="J46" s="2"/>
      <c r="L46" s="12" t="s">
        <v>14</v>
      </c>
      <c r="M46" s="13">
        <v>50</v>
      </c>
      <c r="N46" s="14">
        <v>45170</v>
      </c>
      <c r="O46" s="15" t="str">
        <f t="shared" ca="1" si="3"/>
        <v>Paid</v>
      </c>
    </row>
    <row r="47" spans="2:15" x14ac:dyDescent="0.3">
      <c r="I47" s="1"/>
      <c r="J47" s="2"/>
      <c r="L47" s="12" t="s">
        <v>15</v>
      </c>
      <c r="M47" s="13">
        <v>50</v>
      </c>
      <c r="N47" s="14">
        <v>45184</v>
      </c>
      <c r="O47" s="15" t="str">
        <f t="shared" ca="1" si="3"/>
        <v>Paid</v>
      </c>
    </row>
    <row r="48" spans="2:15" x14ac:dyDescent="0.3">
      <c r="I48" s="1"/>
      <c r="J48" s="2"/>
      <c r="L48" s="12" t="s">
        <v>16</v>
      </c>
      <c r="M48" s="13">
        <v>50</v>
      </c>
      <c r="N48" s="14">
        <v>45198</v>
      </c>
      <c r="O48" s="15" t="str">
        <f t="shared" ca="1" si="3"/>
        <v>Paid</v>
      </c>
    </row>
    <row r="49" spans="9:15" x14ac:dyDescent="0.3">
      <c r="I49" s="1"/>
      <c r="J49" s="2"/>
      <c r="L49" s="12" t="s">
        <v>17</v>
      </c>
      <c r="M49" s="13">
        <v>50</v>
      </c>
      <c r="N49" s="14">
        <v>45212</v>
      </c>
      <c r="O49" s="15" t="str">
        <f t="shared" ca="1" si="3"/>
        <v>Paid</v>
      </c>
    </row>
    <row r="50" spans="9:15" ht="15" thickBot="1" x14ac:dyDescent="0.35">
      <c r="I50" s="1"/>
      <c r="J50" s="2"/>
      <c r="L50" s="20" t="s">
        <v>28</v>
      </c>
      <c r="M50" s="21">
        <f>SUM(M41:M49)</f>
        <v>450</v>
      </c>
      <c r="N50" s="22" t="s">
        <v>29</v>
      </c>
      <c r="O50" s="23" t="str">
        <f ca="1">IF(COUNTIF(O41:O49,"Paid")=9,"None",SUMIF(O41:O49,"Upcoming",M41:M49))</f>
        <v>None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FFEA-699A-4F53-907F-CF8546FAF995}">
  <dimension ref="A1:U10"/>
  <sheetViews>
    <sheetView tabSelected="1" workbookViewId="0">
      <selection activeCell="B7" sqref="B7"/>
    </sheetView>
  </sheetViews>
  <sheetFormatPr defaultRowHeight="14.4" x14ac:dyDescent="0.3"/>
  <cols>
    <col min="1" max="1" width="14.33203125" customWidth="1"/>
    <col min="2" max="2" width="17.33203125" customWidth="1"/>
    <col min="3" max="3" width="12.6640625" style="1" customWidth="1"/>
    <col min="6" max="6" width="14.6640625" customWidth="1"/>
    <col min="7" max="7" width="15.109375" customWidth="1"/>
    <col min="8" max="8" width="8.88671875" style="1"/>
    <col min="11" max="11" width="12" customWidth="1"/>
    <col min="12" max="12" width="13.77734375" customWidth="1"/>
    <col min="13" max="13" width="10.21875" style="1" bestFit="1" customWidth="1"/>
    <col min="16" max="16" width="19.77734375" customWidth="1"/>
    <col min="17" max="18" width="13.109375" customWidth="1"/>
    <col min="19" max="19" width="12.5546875" customWidth="1"/>
    <col min="21" max="21" width="20" customWidth="1"/>
  </cols>
  <sheetData>
    <row r="1" spans="1:21" x14ac:dyDescent="0.3">
      <c r="A1" t="s">
        <v>33</v>
      </c>
      <c r="C1" s="37"/>
      <c r="D1" s="2"/>
      <c r="F1" t="s">
        <v>34</v>
      </c>
      <c r="I1" s="2"/>
      <c r="K1" t="s">
        <v>35</v>
      </c>
      <c r="N1" s="2"/>
    </row>
    <row r="2" spans="1:21" ht="15" customHeight="1" x14ac:dyDescent="0.3">
      <c r="A2" t="s">
        <v>36</v>
      </c>
      <c r="B2" t="s">
        <v>37</v>
      </c>
      <c r="C2" s="25" t="s">
        <v>38</v>
      </c>
      <c r="D2" s="2" t="s">
        <v>39</v>
      </c>
      <c r="F2" t="s">
        <v>36</v>
      </c>
      <c r="G2" t="s">
        <v>37</v>
      </c>
      <c r="H2" s="19" t="s">
        <v>38</v>
      </c>
      <c r="I2" s="2" t="s">
        <v>39</v>
      </c>
      <c r="K2" t="s">
        <v>40</v>
      </c>
      <c r="L2" t="s">
        <v>41</v>
      </c>
      <c r="M2" s="19" t="s">
        <v>38</v>
      </c>
      <c r="N2" s="2" t="s">
        <v>39</v>
      </c>
    </row>
    <row r="3" spans="1:21" x14ac:dyDescent="0.3">
      <c r="A3" t="s">
        <v>7</v>
      </c>
      <c r="B3" t="s">
        <v>52</v>
      </c>
      <c r="C3" s="1">
        <v>15</v>
      </c>
      <c r="D3" s="2">
        <v>46055</v>
      </c>
      <c r="F3" t="s">
        <v>7</v>
      </c>
      <c r="G3" t="s">
        <v>53</v>
      </c>
      <c r="H3" s="1">
        <v>25</v>
      </c>
      <c r="I3" s="2">
        <v>46058</v>
      </c>
      <c r="K3" t="s">
        <v>5</v>
      </c>
      <c r="L3" t="s">
        <v>7</v>
      </c>
      <c r="M3" s="1">
        <v>200</v>
      </c>
      <c r="N3" s="2">
        <v>46054</v>
      </c>
    </row>
    <row r="4" spans="1:21" x14ac:dyDescent="0.3">
      <c r="A4" t="s">
        <v>51</v>
      </c>
      <c r="B4" t="s">
        <v>51</v>
      </c>
      <c r="C4" s="1">
        <v>50</v>
      </c>
      <c r="D4" s="2">
        <v>46056</v>
      </c>
      <c r="K4" t="s">
        <v>7</v>
      </c>
      <c r="L4" t="s">
        <v>11</v>
      </c>
      <c r="M4" s="1">
        <v>100</v>
      </c>
      <c r="N4" s="2">
        <v>46055</v>
      </c>
      <c r="P4" s="38"/>
    </row>
    <row r="5" spans="1:21" x14ac:dyDescent="0.3">
      <c r="A5" t="s">
        <v>50</v>
      </c>
      <c r="B5" t="s">
        <v>54</v>
      </c>
      <c r="C5" s="1">
        <v>20</v>
      </c>
      <c r="D5" s="2">
        <v>46057</v>
      </c>
      <c r="K5" t="s">
        <v>5</v>
      </c>
      <c r="L5" t="s">
        <v>11</v>
      </c>
      <c r="M5" s="1">
        <v>3000</v>
      </c>
      <c r="N5" s="2">
        <v>46055</v>
      </c>
      <c r="P5" s="38"/>
      <c r="Q5" s="39"/>
      <c r="R5" s="39"/>
      <c r="S5" s="40"/>
      <c r="U5" t="s">
        <v>49</v>
      </c>
    </row>
    <row r="6" spans="1:21" x14ac:dyDescent="0.3">
      <c r="A6" t="s">
        <v>5</v>
      </c>
      <c r="B6" t="s">
        <v>55</v>
      </c>
      <c r="C6" s="1">
        <v>500</v>
      </c>
      <c r="D6" s="2">
        <v>46082</v>
      </c>
      <c r="P6" s="38"/>
      <c r="Q6" s="38" t="s">
        <v>42</v>
      </c>
      <c r="R6" s="38" t="s">
        <v>43</v>
      </c>
      <c r="S6" s="38" t="s">
        <v>44</v>
      </c>
      <c r="U6" t="s">
        <v>5</v>
      </c>
    </row>
    <row r="7" spans="1:21" x14ac:dyDescent="0.3">
      <c r="P7" s="38" t="s">
        <v>45</v>
      </c>
      <c r="Q7" s="42">
        <f>SUMIF(L:L,"Account 2",M:M)+SUMIF(F:F,"Account 2",H:H)</f>
        <v>225</v>
      </c>
      <c r="R7" s="43">
        <f>SUMIF(K:K,"Account 2",M:M)+SUMIF(A:A,"Account 2",C:C)</f>
        <v>115</v>
      </c>
      <c r="S7" s="44">
        <f t="shared" ref="S7:S10" si="0">Q7-R7</f>
        <v>110</v>
      </c>
      <c r="U7" t="s">
        <v>7</v>
      </c>
    </row>
    <row r="8" spans="1:21" x14ac:dyDescent="0.3">
      <c r="P8" s="38" t="s">
        <v>46</v>
      </c>
      <c r="Q8" s="41">
        <f>SUMIF(L:L,"Account 1",M:M)+SUMIF(F:F,"Account 1",H:H)</f>
        <v>0</v>
      </c>
      <c r="R8" s="39">
        <f>SUMIF(K:K,"Account 1",M:M)+SUMIF(A:A,"Account 1",C:C)+SUMIF(A:A,"Credit Payment",C:C)</f>
        <v>3750</v>
      </c>
      <c r="S8" s="40">
        <f t="shared" si="0"/>
        <v>-3750</v>
      </c>
      <c r="U8" t="s">
        <v>11</v>
      </c>
    </row>
    <row r="9" spans="1:21" x14ac:dyDescent="0.3">
      <c r="P9" s="38" t="s">
        <v>47</v>
      </c>
      <c r="Q9" s="41">
        <f>SUMIF(A:A,"Credit Charge",C:C)</f>
        <v>20</v>
      </c>
      <c r="R9" s="39">
        <f>SUMIF(A:A,"Credit Payment",C:C)+25</f>
        <v>75</v>
      </c>
      <c r="S9" s="40">
        <f t="shared" si="0"/>
        <v>-55</v>
      </c>
      <c r="U9" t="s">
        <v>50</v>
      </c>
    </row>
    <row r="10" spans="1:21" x14ac:dyDescent="0.3">
      <c r="P10" s="38" t="s">
        <v>48</v>
      </c>
      <c r="Q10" s="41">
        <f>SUMIF(L:L,"Investments",M:M)+SUMIF(F:F,"Investments",H:H)</f>
        <v>3100</v>
      </c>
      <c r="R10" s="39">
        <f>SUMIF(K:K,"Investments",M:M)+SUMIF(A:A,"Investments",C:C)</f>
        <v>0</v>
      </c>
      <c r="S10" s="40">
        <f t="shared" si="0"/>
        <v>3100</v>
      </c>
      <c r="U10" t="s">
        <v>51</v>
      </c>
    </row>
  </sheetData>
  <conditionalFormatting sqref="A1:A2">
    <cfRule type="cellIs" dxfId="0" priority="1" operator="equal">
      <formula>"Credit Payment"</formula>
    </cfRule>
  </conditionalFormatting>
  <dataValidations count="2">
    <dataValidation type="list" allowBlank="1" showInputMessage="1" showErrorMessage="1" sqref="F3:F1048576 K3:L1048576" xr:uid="{122F6774-A0CF-42B2-848C-196F256D0D3F}">
      <formula1>$U$6:$U$8</formula1>
    </dataValidation>
    <dataValidation type="list" allowBlank="1" showInputMessage="1" showErrorMessage="1" sqref="A3:A1048576" xr:uid="{86D4E949-CA4D-45E2-8D34-04048697F712}">
      <formula1>$U$6:$U$10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Rodriguez</dc:creator>
  <cp:lastModifiedBy>Jacob Rodriguez</cp:lastModifiedBy>
  <dcterms:created xsi:type="dcterms:W3CDTF">2026-03-12T01:04:32Z</dcterms:created>
  <dcterms:modified xsi:type="dcterms:W3CDTF">2026-03-12T17:46:55Z</dcterms:modified>
</cp:coreProperties>
</file>